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tica" sheetId="1" state="visible" r:id="rId1"/>
    <sheet xmlns:r="http://schemas.openxmlformats.org/officeDocument/2006/relationships" name="Sol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A5E"/>
      </patternFill>
    </fill>
  </fills>
  <borders count="2">
    <border>
      <left/>
      <right/>
      <top/>
      <bottom/>
      <diagonal/>
    </border>
    <border>
      <left style="thin">
        <color rgb="00D9DCD5"/>
      </left>
      <right style="thin">
        <color rgb="00D9DCD5"/>
      </right>
      <top style="thin">
        <color rgb="00D9DCD5"/>
      </top>
      <bottom style="thin">
        <color rgb="00D9DC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2" customWidth="1" min="4" max="4"/>
    <col width="4" customWidth="1" min="5" max="5"/>
    <col width="16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Día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Importe</t>
        </is>
      </c>
      <c r="F1" s="1" t="inlineStr">
        <is>
          <t>Categoría</t>
        </is>
      </c>
      <c r="G1" s="1" t="inlineStr">
        <is>
          <t>Plan</t>
        </is>
      </c>
      <c r="H1" s="1" t="inlineStr">
        <is>
          <t>Real</t>
        </is>
      </c>
      <c r="I1" s="1" t="inlineStr">
        <is>
          <t>Diferencia</t>
        </is>
      </c>
      <c r="J1" s="1" t="inlineStr">
        <is>
          <t>Estado</t>
        </is>
      </c>
    </row>
    <row r="2">
      <c r="A2" s="2" t="n">
        <v>1</v>
      </c>
      <c r="B2" s="2" t="inlineStr">
        <is>
          <t>Alquiler</t>
        </is>
      </c>
      <c r="C2" s="2" t="inlineStr">
        <is>
          <t>Vivienda</t>
        </is>
      </c>
      <c r="D2" s="3" t="n">
        <v>42000</v>
      </c>
      <c r="F2" s="2" t="inlineStr">
        <is>
          <t>Vivienda</t>
        </is>
      </c>
      <c r="G2" s="3" t="n">
        <v>45000</v>
      </c>
      <c r="H2" s="4" t="n"/>
      <c r="I2" s="5" t="n"/>
    </row>
    <row r="3">
      <c r="A3" s="2" t="n">
        <v>3</v>
      </c>
      <c r="B3" s="2" t="inlineStr">
        <is>
          <t>Supermercado</t>
        </is>
      </c>
      <c r="C3" s="2" t="inlineStr">
        <is>
          <t>Alimentación</t>
        </is>
      </c>
      <c r="D3" s="3" t="n">
        <v>11800</v>
      </c>
      <c r="F3" s="2" t="inlineStr">
        <is>
          <t>Alimentación</t>
        </is>
      </c>
      <c r="G3" s="3" t="n">
        <v>30000</v>
      </c>
      <c r="H3" s="4" t="n"/>
      <c r="I3" s="5" t="n"/>
    </row>
    <row r="4">
      <c r="A4" s="2" t="n">
        <v>5</v>
      </c>
      <c r="B4" s="2" t="inlineStr">
        <is>
          <t>Transporte público</t>
        </is>
      </c>
      <c r="C4" s="2" t="inlineStr">
        <is>
          <t>Transporte</t>
        </is>
      </c>
      <c r="D4" s="3" t="n">
        <v>4500</v>
      </c>
      <c r="F4" s="2" t="inlineStr">
        <is>
          <t>Transporte</t>
        </is>
      </c>
      <c r="G4" s="3" t="n">
        <v>12000</v>
      </c>
      <c r="H4" s="4" t="n"/>
      <c r="I4" s="5" t="n"/>
    </row>
    <row r="5">
      <c r="A5" s="2" t="n">
        <v>8</v>
      </c>
      <c r="B5" s="2" t="inlineStr">
        <is>
          <t>Cine</t>
        </is>
      </c>
      <c r="C5" s="2" t="inlineStr">
        <is>
          <t>Ocio</t>
        </is>
      </c>
      <c r="D5" s="3" t="n">
        <v>3200</v>
      </c>
      <c r="F5" s="2" t="inlineStr">
        <is>
          <t>Ocio</t>
        </is>
      </c>
      <c r="G5" s="3" t="n">
        <v>5000</v>
      </c>
      <c r="H5" s="4" t="n"/>
      <c r="I5" s="5" t="n"/>
    </row>
    <row r="6">
      <c r="A6" s="2" t="n">
        <v>10</v>
      </c>
      <c r="B6" s="2" t="inlineStr">
        <is>
          <t>Electricidad</t>
        </is>
      </c>
      <c r="C6" s="2" t="inlineStr">
        <is>
          <t>Vivienda</t>
        </is>
      </c>
      <c r="D6" s="3" t="n">
        <v>6100</v>
      </c>
      <c r="F6" s="2" t="inlineStr">
        <is>
          <t>Total</t>
        </is>
      </c>
      <c r="G6" s="4" t="n"/>
      <c r="H6" s="4" t="n"/>
      <c r="I6" s="5" t="n"/>
    </row>
    <row r="7">
      <c r="A7" s="2" t="n">
        <v>14</v>
      </c>
      <c r="B7" s="2" t="inlineStr">
        <is>
          <t>Supermercado</t>
        </is>
      </c>
      <c r="C7" s="2" t="inlineStr">
        <is>
          <t>Alimentación</t>
        </is>
      </c>
      <c r="D7" s="3" t="n">
        <v>12900</v>
      </c>
      <c r="G7" s="4" t="n"/>
      <c r="H7" s="4" t="n"/>
      <c r="I7" s="5" t="n"/>
    </row>
    <row r="8">
      <c r="A8" s="2" t="n">
        <v>20</v>
      </c>
      <c r="B8" s="2" t="inlineStr">
        <is>
          <t>Combustible</t>
        </is>
      </c>
      <c r="C8" s="2" t="inlineStr">
        <is>
          <t>Transporte</t>
        </is>
      </c>
      <c r="D8" s="3" t="n">
        <v>7800</v>
      </c>
      <c r="G8" s="4" t="n"/>
      <c r="H8" s="4" t="n"/>
      <c r="I8" s="5" t="n"/>
    </row>
    <row r="9">
      <c r="B9" s="2" t="inlineStr">
        <is>
          <t>Total</t>
        </is>
      </c>
      <c r="D9" s="4" t="n"/>
      <c r="G9" s="4" t="n"/>
      <c r="H9" s="4" t="n"/>
      <c r="I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2" customWidth="1" min="4" max="4"/>
    <col width="4" customWidth="1" min="5" max="5"/>
    <col width="16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Día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Importe</t>
        </is>
      </c>
      <c r="F1" s="1" t="inlineStr">
        <is>
          <t>Categoría</t>
        </is>
      </c>
      <c r="G1" s="1" t="inlineStr">
        <is>
          <t>Plan</t>
        </is>
      </c>
      <c r="H1" s="1" t="inlineStr">
        <is>
          <t>Real</t>
        </is>
      </c>
      <c r="I1" s="1" t="inlineStr">
        <is>
          <t>Diferencia</t>
        </is>
      </c>
      <c r="J1" s="1" t="inlineStr">
        <is>
          <t>Estado</t>
        </is>
      </c>
    </row>
    <row r="2">
      <c r="A2" s="2" t="n">
        <v>1</v>
      </c>
      <c r="B2" s="2" t="inlineStr">
        <is>
          <t>Alquiler</t>
        </is>
      </c>
      <c r="C2" s="2" t="inlineStr">
        <is>
          <t>Vivienda</t>
        </is>
      </c>
      <c r="D2" s="3" t="n">
        <v>42000</v>
      </c>
      <c r="F2" s="2" t="inlineStr">
        <is>
          <t>Vivienda</t>
        </is>
      </c>
      <c r="G2" s="3" t="n">
        <v>45000</v>
      </c>
      <c r="H2" s="3">
        <f>SUMIF($C$2:$C$8,F2,$D$2:$D$8)</f>
        <v/>
      </c>
      <c r="I2" s="6">
        <f>H2-G2</f>
        <v/>
      </c>
      <c r="J2" s="2">
        <f>IF(H2&gt;G2,"Excedido","Dentro del plan")</f>
        <v/>
      </c>
    </row>
    <row r="3">
      <c r="A3" s="2" t="n">
        <v>3</v>
      </c>
      <c r="B3" s="2" t="inlineStr">
        <is>
          <t>Supermercado</t>
        </is>
      </c>
      <c r="C3" s="2" t="inlineStr">
        <is>
          <t>Alimentación</t>
        </is>
      </c>
      <c r="D3" s="3" t="n">
        <v>11800</v>
      </c>
      <c r="F3" s="2" t="inlineStr">
        <is>
          <t>Alimentación</t>
        </is>
      </c>
      <c r="G3" s="3" t="n">
        <v>30000</v>
      </c>
      <c r="H3" s="3">
        <f>SUMIF($C$2:$C$8,F3,$D$2:$D$8)</f>
        <v/>
      </c>
      <c r="I3" s="6">
        <f>H3-G3</f>
        <v/>
      </c>
      <c r="J3" s="2">
        <f>IF(H3&gt;G3,"Excedido","Dentro del plan")</f>
        <v/>
      </c>
    </row>
    <row r="4">
      <c r="A4" s="2" t="n">
        <v>5</v>
      </c>
      <c r="B4" s="2" t="inlineStr">
        <is>
          <t>Transporte público</t>
        </is>
      </c>
      <c r="C4" s="2" t="inlineStr">
        <is>
          <t>Transporte</t>
        </is>
      </c>
      <c r="D4" s="3" t="n">
        <v>4500</v>
      </c>
      <c r="F4" s="2" t="inlineStr">
        <is>
          <t>Transporte</t>
        </is>
      </c>
      <c r="G4" s="3" t="n">
        <v>12000</v>
      </c>
      <c r="H4" s="3">
        <f>SUMIF($C$2:$C$8,F4,$D$2:$D$8)</f>
        <v/>
      </c>
      <c r="I4" s="6">
        <f>H4-G4</f>
        <v/>
      </c>
      <c r="J4" s="2">
        <f>IF(H4&gt;G4,"Excedido","Dentro del plan")</f>
        <v/>
      </c>
    </row>
    <row r="5">
      <c r="A5" s="2" t="n">
        <v>8</v>
      </c>
      <c r="B5" s="2" t="inlineStr">
        <is>
          <t>Cine</t>
        </is>
      </c>
      <c r="C5" s="2" t="inlineStr">
        <is>
          <t>Ocio</t>
        </is>
      </c>
      <c r="D5" s="3" t="n">
        <v>3200</v>
      </c>
      <c r="F5" s="2" t="inlineStr">
        <is>
          <t>Ocio</t>
        </is>
      </c>
      <c r="G5" s="3" t="n">
        <v>5000</v>
      </c>
      <c r="H5" s="3">
        <f>SUMIF($C$2:$C$8,F5,$D$2:$D$8)</f>
        <v/>
      </c>
      <c r="I5" s="6">
        <f>H5-G5</f>
        <v/>
      </c>
      <c r="J5" s="2">
        <f>IF(H5&gt;G5,"Excedido","Dentro del plan")</f>
        <v/>
      </c>
    </row>
    <row r="6">
      <c r="A6" s="2" t="n">
        <v>10</v>
      </c>
      <c r="B6" s="2" t="inlineStr">
        <is>
          <t>Electricidad</t>
        </is>
      </c>
      <c r="C6" s="2" t="inlineStr">
        <is>
          <t>Vivienda</t>
        </is>
      </c>
      <c r="D6" s="3" t="n">
        <v>6100</v>
      </c>
      <c r="F6" s="2" t="inlineStr">
        <is>
          <t>Total</t>
        </is>
      </c>
      <c r="G6" s="3">
        <f>SUM(G2:G5)</f>
        <v/>
      </c>
      <c r="H6" s="3">
        <f>SUM(H2:H5)</f>
        <v/>
      </c>
      <c r="I6" s="6">
        <f>H6-G6</f>
        <v/>
      </c>
    </row>
    <row r="7">
      <c r="A7" s="2" t="n">
        <v>14</v>
      </c>
      <c r="B7" s="2" t="inlineStr">
        <is>
          <t>Supermercado</t>
        </is>
      </c>
      <c r="C7" s="2" t="inlineStr">
        <is>
          <t>Alimentación</t>
        </is>
      </c>
      <c r="D7" s="3" t="n">
        <v>12900</v>
      </c>
      <c r="G7" s="4" t="n"/>
      <c r="H7" s="4" t="n"/>
      <c r="I7" s="5" t="n"/>
    </row>
    <row r="8">
      <c r="A8" s="2" t="n">
        <v>20</v>
      </c>
      <c r="B8" s="2" t="inlineStr">
        <is>
          <t>Combustible</t>
        </is>
      </c>
      <c r="C8" s="2" t="inlineStr">
        <is>
          <t>Transporte</t>
        </is>
      </c>
      <c r="D8" s="3" t="n">
        <v>7800</v>
      </c>
      <c r="G8" s="4" t="n"/>
      <c r="H8" s="4" t="n"/>
      <c r="I8" s="5" t="n"/>
    </row>
    <row r="9">
      <c r="B9" s="2" t="inlineStr">
        <is>
          <t>Total</t>
        </is>
      </c>
      <c r="D9" s="3">
        <f>SUM(D2:D8)</f>
        <v/>
      </c>
      <c r="G9" s="4" t="n"/>
      <c r="H9" s="4" t="n"/>
      <c r="I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Celda Clara</dc:creator>
  <dc:title xmlns:dc="http://purl.org/dc/elements/1.1/">Celda Clara · Excel desde cero · Lección 4</dc:title>
  <dcterms:created xmlns:dcterms="http://purl.org/dc/terms/" xmlns:xsi="http://www.w3.org/2001/XMLSchema-instance" xsi:type="dcterms:W3CDTF">2026-10-15T14:46:38Z</dcterms:created>
  <dcterms:modified xmlns:dcterms="http://purl.org/dc/terms/" xmlns:xsi="http://www.w3.org/2001/XMLSchema-instance" xsi:type="dcterms:W3CDTF">2026-10-15T14:46:38Z</dcterms:modified>
</cp:coreProperties>
</file>